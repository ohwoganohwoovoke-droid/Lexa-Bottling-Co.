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Future Africa\"/>
    </mc:Choice>
  </mc:AlternateContent>
  <xr:revisionPtr revIDLastSave="0" documentId="13_ncr:1_{EA463D61-5197-4A5D-A50D-EB5DDC69450C}" xr6:coauthVersionLast="47" xr6:coauthVersionMax="47" xr10:uidLastSave="{00000000-0000-0000-0000-000000000000}"/>
  <bookViews>
    <workbookView xWindow="4800" yWindow="2810" windowWidth="14400" windowHeight="7270" activeTab="3" xr2:uid="{646C5C23-3156-4740-B9B5-D44C38627475}"/>
  </bookViews>
  <sheets>
    <sheet name="Cover Page" sheetId="1" r:id="rId1"/>
    <sheet name="Assumptions" sheetId="2" r:id="rId2"/>
    <sheet name="Model" sheetId="3" r:id="rId3"/>
    <sheet name="Valuation" sheetId="4" r:id="rId4"/>
  </sheets>
  <definedNames>
    <definedName name="currency">Assumptions!$F$16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3" l="1"/>
  <c r="J10" i="3"/>
  <c r="N35" i="4"/>
  <c r="E34" i="4"/>
  <c r="N33" i="4"/>
  <c r="E33" i="4"/>
  <c r="D33" i="4"/>
  <c r="E31" i="4"/>
  <c r="E22" i="4"/>
  <c r="J31" i="4"/>
  <c r="K31" i="4"/>
  <c r="L31" i="4"/>
  <c r="M31" i="4"/>
  <c r="N31" i="4"/>
  <c r="D31" i="4"/>
  <c r="D83" i="2"/>
  <c r="J69" i="2"/>
  <c r="E24" i="4"/>
  <c r="N24" i="4"/>
  <c r="F7" i="4"/>
  <c r="K22" i="4" s="1"/>
  <c r="J14" i="4"/>
  <c r="K14" i="4"/>
  <c r="L14" i="4"/>
  <c r="M14" i="4"/>
  <c r="N14" i="4"/>
  <c r="I14" i="4"/>
  <c r="N12" i="4"/>
  <c r="M12" i="4"/>
  <c r="L12" i="4"/>
  <c r="K12" i="4"/>
  <c r="J12" i="4"/>
  <c r="I12" i="4"/>
  <c r="E12" i="4"/>
  <c r="D12" i="4"/>
  <c r="N10" i="4"/>
  <c r="N13" i="4" s="1"/>
  <c r="N16" i="4" s="1"/>
  <c r="E10" i="4"/>
  <c r="E9" i="4"/>
  <c r="N9" i="4"/>
  <c r="M9" i="4"/>
  <c r="M10" i="4" s="1"/>
  <c r="L9" i="4"/>
  <c r="L10" i="4" s="1"/>
  <c r="L13" i="4" s="1"/>
  <c r="L16" i="4" s="1"/>
  <c r="K9" i="4"/>
  <c r="K10" i="4" s="1"/>
  <c r="J9" i="4"/>
  <c r="J10" i="4" s="1"/>
  <c r="I9" i="4"/>
  <c r="I10" i="4" s="1"/>
  <c r="I13" i="4" s="1"/>
  <c r="E26" i="3"/>
  <c r="E27" i="3"/>
  <c r="E28" i="3"/>
  <c r="E30" i="3"/>
  <c r="E31" i="3"/>
  <c r="E32" i="3"/>
  <c r="E33" i="3"/>
  <c r="E40" i="3"/>
  <c r="E9" i="3"/>
  <c r="E10" i="3"/>
  <c r="E11" i="3"/>
  <c r="E13" i="3"/>
  <c r="E14" i="3"/>
  <c r="E16" i="3"/>
  <c r="E17" i="3"/>
  <c r="E20" i="3"/>
  <c r="E19" i="3"/>
  <c r="D9" i="4"/>
  <c r="D40" i="3"/>
  <c r="D32" i="3"/>
  <c r="E88" i="2"/>
  <c r="I30" i="3"/>
  <c r="I79" i="2"/>
  <c r="K77" i="2"/>
  <c r="L77" i="2"/>
  <c r="M77" i="2"/>
  <c r="N77" i="2"/>
  <c r="J77" i="2"/>
  <c r="E77" i="2"/>
  <c r="D77" i="2"/>
  <c r="H79" i="2"/>
  <c r="I76" i="2" s="1"/>
  <c r="E76" i="2"/>
  <c r="E78" i="2"/>
  <c r="E79" i="2"/>
  <c r="D78" i="2"/>
  <c r="K46" i="2"/>
  <c r="L46" i="2"/>
  <c r="M46" i="2"/>
  <c r="N46" i="2"/>
  <c r="J46" i="2"/>
  <c r="I48" i="2"/>
  <c r="J45" i="2" s="1"/>
  <c r="I45" i="2"/>
  <c r="I47" i="2"/>
  <c r="D46" i="2"/>
  <c r="E45" i="2"/>
  <c r="E47" i="2"/>
  <c r="E48" i="2"/>
  <c r="D47" i="2"/>
  <c r="D71" i="2"/>
  <c r="D19" i="3"/>
  <c r="E74" i="2"/>
  <c r="K69" i="2"/>
  <c r="L69" i="2"/>
  <c r="M69" i="2"/>
  <c r="N69" i="2"/>
  <c r="E69" i="2"/>
  <c r="E65" i="2"/>
  <c r="J63" i="2"/>
  <c r="K63" i="2"/>
  <c r="L63" i="2"/>
  <c r="M63" i="2"/>
  <c r="N63" i="2"/>
  <c r="I63" i="2"/>
  <c r="I71" i="2" s="1"/>
  <c r="E63" i="2"/>
  <c r="I16" i="3"/>
  <c r="E59" i="2"/>
  <c r="K43" i="2"/>
  <c r="K16" i="3" s="1"/>
  <c r="L43" i="2"/>
  <c r="L16" i="3" s="1"/>
  <c r="M43" i="2"/>
  <c r="M16" i="3" s="1"/>
  <c r="N43" i="2"/>
  <c r="N16" i="3" s="1"/>
  <c r="J43" i="2"/>
  <c r="J16" i="3" s="1"/>
  <c r="E43" i="2"/>
  <c r="I9" i="3"/>
  <c r="I10" i="3" s="1"/>
  <c r="E23" i="2"/>
  <c r="I2" i="4"/>
  <c r="B2" i="4"/>
  <c r="E37" i="2"/>
  <c r="E46" i="2" s="1"/>
  <c r="I2" i="3"/>
  <c r="B2" i="3"/>
  <c r="K71" i="2" l="1"/>
  <c r="K74" i="2" s="1"/>
  <c r="K78" i="2" s="1"/>
  <c r="J22" i="4"/>
  <c r="N22" i="4"/>
  <c r="M22" i="4"/>
  <c r="L22" i="4"/>
  <c r="I16" i="4"/>
  <c r="K13" i="4"/>
  <c r="K16" i="4" s="1"/>
  <c r="M13" i="4"/>
  <c r="M16" i="4" s="1"/>
  <c r="J13" i="4"/>
  <c r="J16" i="4" s="1"/>
  <c r="J47" i="2"/>
  <c r="J48" i="2" s="1"/>
  <c r="M47" i="2"/>
  <c r="K47" i="2"/>
  <c r="L47" i="2"/>
  <c r="I26" i="3"/>
  <c r="N47" i="2"/>
  <c r="J71" i="2"/>
  <c r="J74" i="2" s="1"/>
  <c r="J78" i="2" s="1"/>
  <c r="E71" i="2"/>
  <c r="I74" i="2"/>
  <c r="N71" i="2"/>
  <c r="N74" i="2" s="1"/>
  <c r="M71" i="2"/>
  <c r="M74" i="2" s="1"/>
  <c r="L71" i="2"/>
  <c r="L74" i="2" s="1"/>
  <c r="I11" i="3"/>
  <c r="I14" i="3"/>
  <c r="I17" i="3" s="1"/>
  <c r="J9" i="3"/>
  <c r="K19" i="3" l="1"/>
  <c r="K45" i="2"/>
  <c r="K48" i="2" s="1"/>
  <c r="L45" i="2" s="1"/>
  <c r="L48" i="2" s="1"/>
  <c r="J26" i="3"/>
  <c r="N19" i="3"/>
  <c r="N78" i="2"/>
  <c r="J19" i="3"/>
  <c r="L19" i="3"/>
  <c r="L78" i="2"/>
  <c r="I19" i="3"/>
  <c r="I20" i="3" s="1"/>
  <c r="I32" i="3" s="1"/>
  <c r="I33" i="3" s="1"/>
  <c r="I27" i="3" s="1"/>
  <c r="I40" i="3" s="1"/>
  <c r="I78" i="2"/>
  <c r="J76" i="2" s="1"/>
  <c r="M19" i="3"/>
  <c r="M78" i="2"/>
  <c r="I13" i="3"/>
  <c r="K9" i="3"/>
  <c r="J14" i="3"/>
  <c r="J17" i="3" s="1"/>
  <c r="J20" i="3" l="1"/>
  <c r="J32" i="3" s="1"/>
  <c r="I28" i="3"/>
  <c r="I35" i="3" s="1"/>
  <c r="J79" i="2"/>
  <c r="J30" i="3" s="1"/>
  <c r="K26" i="3"/>
  <c r="M45" i="2"/>
  <c r="M48" i="2" s="1"/>
  <c r="L26" i="3"/>
  <c r="J13" i="3"/>
  <c r="L9" i="3"/>
  <c r="K11" i="3"/>
  <c r="K14" i="3"/>
  <c r="K17" i="3" s="1"/>
  <c r="K20" i="3" s="1"/>
  <c r="K32" i="3" s="1"/>
  <c r="K10" i="3"/>
  <c r="K76" i="2" l="1"/>
  <c r="K79" i="2" s="1"/>
  <c r="J33" i="3"/>
  <c r="J27" i="3" s="1"/>
  <c r="N45" i="2"/>
  <c r="N48" i="2" s="1"/>
  <c r="N26" i="3" s="1"/>
  <c r="M26" i="3"/>
  <c r="M9" i="3"/>
  <c r="L14" i="3"/>
  <c r="L17" i="3" s="1"/>
  <c r="L20" i="3" s="1"/>
  <c r="L32" i="3" s="1"/>
  <c r="L11" i="3"/>
  <c r="L10" i="3"/>
  <c r="K13" i="3"/>
  <c r="J28" i="3" l="1"/>
  <c r="J35" i="3" s="1"/>
  <c r="J40" i="3"/>
  <c r="L76" i="2"/>
  <c r="L79" i="2" s="1"/>
  <c r="K30" i="3"/>
  <c r="K33" i="3" s="1"/>
  <c r="K27" i="3" s="1"/>
  <c r="K40" i="3" s="1"/>
  <c r="N9" i="3"/>
  <c r="M14" i="3"/>
  <c r="M17" i="3" s="1"/>
  <c r="M20" i="3" s="1"/>
  <c r="M32" i="3" s="1"/>
  <c r="M11" i="3"/>
  <c r="M10" i="3"/>
  <c r="L13" i="3"/>
  <c r="K28" i="3" l="1"/>
  <c r="K35" i="3" s="1"/>
  <c r="M76" i="2"/>
  <c r="M79" i="2" s="1"/>
  <c r="L30" i="3"/>
  <c r="L33" i="3" s="1"/>
  <c r="L27" i="3" s="1"/>
  <c r="N10" i="3"/>
  <c r="N14" i="3"/>
  <c r="N17" i="3" s="1"/>
  <c r="N20" i="3" s="1"/>
  <c r="N32" i="3" s="1"/>
  <c r="N11" i="3"/>
  <c r="M13" i="3"/>
  <c r="L40" i="3" l="1"/>
  <c r="L28" i="3"/>
  <c r="L35" i="3" s="1"/>
  <c r="N76" i="2"/>
  <c r="N79" i="2" s="1"/>
  <c r="N30" i="3" s="1"/>
  <c r="N33" i="3" s="1"/>
  <c r="N27" i="3" s="1"/>
  <c r="M30" i="3"/>
  <c r="M33" i="3" s="1"/>
  <c r="M27" i="3" s="1"/>
  <c r="N13" i="3"/>
  <c r="N40" i="3" l="1"/>
  <c r="N28" i="3"/>
  <c r="N35" i="3" s="1"/>
  <c r="M28" i="3"/>
  <c r="M35" i="3" s="1"/>
  <c r="M40" i="3"/>
  <c r="I2" i="2" l="1"/>
  <c r="B2" i="2"/>
  <c r="B5" i="1"/>
</calcChain>
</file>

<file path=xl/sharedStrings.xml><?xml version="1.0" encoding="utf-8"?>
<sst xmlns="http://schemas.openxmlformats.org/spreadsheetml/2006/main" count="121" uniqueCount="81">
  <si>
    <t>Lexa Bottling Co.</t>
  </si>
  <si>
    <t>Base Year</t>
  </si>
  <si>
    <t>Modeler</t>
  </si>
  <si>
    <t>Ovoke Ohwoganohwo</t>
  </si>
  <si>
    <t>Units</t>
  </si>
  <si>
    <t>Inputs</t>
  </si>
  <si>
    <t>Actual</t>
  </si>
  <si>
    <t>Forecast</t>
  </si>
  <si>
    <t>Assumptions</t>
  </si>
  <si>
    <t>Cells Styles</t>
  </si>
  <si>
    <t>Number</t>
  </si>
  <si>
    <t>Multiple</t>
  </si>
  <si>
    <t>Percentage</t>
  </si>
  <si>
    <t xml:space="preserve">Linked </t>
  </si>
  <si>
    <t>Text</t>
  </si>
  <si>
    <t>Gross Margin Assumption</t>
  </si>
  <si>
    <t>Working Capital Assumption</t>
  </si>
  <si>
    <t>EBITDA Margin Assumption</t>
  </si>
  <si>
    <t>Revenue Assumptions</t>
  </si>
  <si>
    <t>%</t>
  </si>
  <si>
    <t>% of Revenue</t>
  </si>
  <si>
    <t>Currency</t>
  </si>
  <si>
    <t>₦'mn</t>
  </si>
  <si>
    <t>Forecast Rate</t>
  </si>
  <si>
    <t>CAPEX Assumption</t>
  </si>
  <si>
    <t>Additions</t>
  </si>
  <si>
    <t>Depreciation Method</t>
  </si>
  <si>
    <t>Staright Line Method</t>
  </si>
  <si>
    <t>Useful Life</t>
  </si>
  <si>
    <t>Years</t>
  </si>
  <si>
    <t>Model</t>
  </si>
  <si>
    <t xml:space="preserve">Statement of Profit or Loss </t>
  </si>
  <si>
    <t>Revenue</t>
  </si>
  <si>
    <t>Historical Figure</t>
  </si>
  <si>
    <t>Cost of Sales</t>
  </si>
  <si>
    <t>Gross Profit</t>
  </si>
  <si>
    <t>Operating Expenses</t>
  </si>
  <si>
    <t>EBITDA</t>
  </si>
  <si>
    <t>Depreciation</t>
  </si>
  <si>
    <t>EBIT</t>
  </si>
  <si>
    <t>Debt Assumption</t>
  </si>
  <si>
    <t>Existing debt outstanding (NGN)</t>
  </si>
  <si>
    <t>Interest rate on existing debt</t>
  </si>
  <si>
    <t>Interest Expense on Existing Debt</t>
  </si>
  <si>
    <t>New External Capital - Debt</t>
  </si>
  <si>
    <t>Interest rate on new debt</t>
  </si>
  <si>
    <t>Notes</t>
  </si>
  <si>
    <t>MPR + Premium (5%)</t>
  </si>
  <si>
    <t>Interest Expense on New Debt</t>
  </si>
  <si>
    <t>Interest Expense</t>
  </si>
  <si>
    <t>Tax Impact</t>
  </si>
  <si>
    <t>=</t>
  </si>
  <si>
    <t>Net Income</t>
  </si>
  <si>
    <t>Statement of Financial Position</t>
  </si>
  <si>
    <t>Assets</t>
  </si>
  <si>
    <t>Opening Balance</t>
  </si>
  <si>
    <t>Closing Balance</t>
  </si>
  <si>
    <t>Liabilities</t>
  </si>
  <si>
    <t>Equity</t>
  </si>
  <si>
    <t>Equity Assumption</t>
  </si>
  <si>
    <t>B</t>
  </si>
  <si>
    <t>A</t>
  </si>
  <si>
    <t>New External Capital - Equity</t>
  </si>
  <si>
    <t>PPE</t>
  </si>
  <si>
    <t>Cash and Cash Equivalent</t>
  </si>
  <si>
    <t>Total Assets</t>
  </si>
  <si>
    <t>Total Equity and Liabilities</t>
  </si>
  <si>
    <t>Check</t>
  </si>
  <si>
    <t xml:space="preserve">Statement of Cashflow </t>
  </si>
  <si>
    <t>EBIAT (NOPAT)</t>
  </si>
  <si>
    <t>Unlevered CFO</t>
  </si>
  <si>
    <t>Less: Capital expenditures</t>
  </si>
  <si>
    <t>Unlevered FCF</t>
  </si>
  <si>
    <t>Valuation Date</t>
  </si>
  <si>
    <t>PV of FCF</t>
  </si>
  <si>
    <t>Enterprise value</t>
  </si>
  <si>
    <t>Discount factor (WACC)</t>
  </si>
  <si>
    <t>WITHOUT CONSIDERING DEBT</t>
  </si>
  <si>
    <t>Debt Value</t>
  </si>
  <si>
    <t>Equity Value</t>
  </si>
  <si>
    <t>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</si>
</sst>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&quot;F&quot;"/>
    <numFmt numFmtId="165" formatCode="0.00\x"/>
    <numFmt numFmtId="166" formatCode="0.00%_);\(0.00%\)_)"/>
    <numFmt numFmtId="167" formatCode="0_);[Red]\(0\)"/>
    <numFmt numFmtId="168" formatCode="#,##0.0000_);[Red]\(#,##0.0000\)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 tint="0.34998626667073579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sz val="11"/>
      <color theme="9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0"/>
      <color theme="1" tint="0.34998626667073579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40" fontId="0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8" fillId="2" borderId="2" applyNumberFormat="0" applyFill="0" applyBorder="0" applyAlignment="0" applyProtection="0"/>
    <xf numFmtId="0" fontId="9" fillId="0" borderId="3" applyNumberFormat="0" applyFill="0" applyBorder="0" applyAlignment="0" applyProtection="0"/>
    <xf numFmtId="4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39">
    <xf numFmtId="40" fontId="0" fillId="0" borderId="0" xfId="0"/>
    <xf numFmtId="40" fontId="3" fillId="0" borderId="0" xfId="0" applyFont="1"/>
    <xf numFmtId="40" fontId="4" fillId="0" borderId="0" xfId="0" applyFont="1"/>
    <xf numFmtId="40" fontId="5" fillId="0" borderId="0" xfId="0" applyFont="1"/>
    <xf numFmtId="40" fontId="0" fillId="3" borderId="0" xfId="0" applyFill="1"/>
    <xf numFmtId="40" fontId="5" fillId="3" borderId="0" xfId="0" applyFont="1" applyFill="1"/>
    <xf numFmtId="40" fontId="0" fillId="0" borderId="0" xfId="0" applyAlignment="1">
      <alignment horizontal="right"/>
    </xf>
    <xf numFmtId="40" fontId="3" fillId="0" borderId="0" xfId="0" applyFont="1" applyAlignment="1">
      <alignment horizontal="right"/>
    </xf>
    <xf numFmtId="164" fontId="3" fillId="0" borderId="0" xfId="0" applyNumberFormat="1" applyFont="1"/>
    <xf numFmtId="0" fontId="3" fillId="3" borderId="4" xfId="0" applyNumberFormat="1" applyFont="1" applyFill="1" applyBorder="1" applyAlignment="1">
      <alignment horizontal="centerContinuous"/>
    </xf>
    <xf numFmtId="0" fontId="0" fillId="3" borderId="5" xfId="0" applyNumberFormat="1" applyFill="1" applyBorder="1" applyAlignment="1">
      <alignment horizontal="centerContinuous"/>
    </xf>
    <xf numFmtId="0" fontId="0" fillId="3" borderId="6" xfId="0" applyNumberFormat="1" applyFill="1" applyBorder="1" applyAlignment="1">
      <alignment horizontal="centerContinuous"/>
    </xf>
    <xf numFmtId="0" fontId="2" fillId="0" borderId="1" xfId="2"/>
    <xf numFmtId="40" fontId="6" fillId="0" borderId="0" xfId="0" applyFont="1"/>
    <xf numFmtId="40" fontId="7" fillId="0" borderId="0" xfId="5"/>
    <xf numFmtId="40" fontId="8" fillId="0" borderId="0" xfId="3" applyNumberFormat="1" applyFill="1" applyBorder="1"/>
    <xf numFmtId="165" fontId="0" fillId="0" borderId="0" xfId="6" applyFont="1"/>
    <xf numFmtId="166" fontId="0" fillId="0" borderId="0" xfId="7" applyFont="1"/>
    <xf numFmtId="40" fontId="9" fillId="0" borderId="0" xfId="4" applyNumberFormat="1" applyBorder="1"/>
    <xf numFmtId="40" fontId="7" fillId="0" borderId="0" xfId="5" applyAlignment="1">
      <alignment horizontal="right"/>
    </xf>
    <xf numFmtId="40" fontId="10" fillId="0" borderId="0" xfId="0" applyFont="1"/>
    <xf numFmtId="40" fontId="0" fillId="0" borderId="0" xfId="0" applyFont="1"/>
    <xf numFmtId="40" fontId="2" fillId="0" borderId="1" xfId="2" applyNumberFormat="1"/>
    <xf numFmtId="167" fontId="3" fillId="0" borderId="0" xfId="0" applyNumberFormat="1" applyFont="1"/>
    <xf numFmtId="43" fontId="0" fillId="0" borderId="0" xfId="1" applyFont="1"/>
    <xf numFmtId="40" fontId="7" fillId="3" borderId="0" xfId="5" applyFill="1"/>
    <xf numFmtId="0" fontId="7" fillId="0" borderId="1" xfId="5" applyNumberFormat="1" applyBorder="1"/>
    <xf numFmtId="43" fontId="2" fillId="0" borderId="1" xfId="2" applyNumberFormat="1"/>
    <xf numFmtId="40" fontId="0" fillId="0" borderId="4" xfId="0" applyBorder="1"/>
    <xf numFmtId="40" fontId="7" fillId="0" borderId="5" xfId="5" applyBorder="1"/>
    <xf numFmtId="40" fontId="0" fillId="0" borderId="6" xfId="0" applyBorder="1"/>
    <xf numFmtId="40" fontId="3" fillId="0" borderId="7" xfId="0" applyFont="1" applyBorder="1"/>
    <xf numFmtId="40" fontId="11" fillId="0" borderId="0" xfId="5" applyFont="1"/>
    <xf numFmtId="168" fontId="10" fillId="0" borderId="0" xfId="0" applyNumberFormat="1" applyFont="1"/>
    <xf numFmtId="40" fontId="0" fillId="0" borderId="0" xfId="0" applyAlignment="1">
      <alignment horizontal="left" indent="1"/>
    </xf>
    <xf numFmtId="40" fontId="10" fillId="0" borderId="0" xfId="0" applyFont="1" applyAlignment="1">
      <alignment horizontal="left" indent="1"/>
    </xf>
    <xf numFmtId="40" fontId="0" fillId="0" borderId="0" xfId="0" applyAlignment="1">
      <alignment horizontal="left"/>
    </xf>
    <xf numFmtId="14" fontId="0" fillId="0" borderId="0" xfId="0" applyNumberFormat="1"/>
    <xf numFmtId="43" fontId="3" fillId="0" borderId="0" xfId="1" applyFont="1"/>
  </cellXfs>
  <cellStyles count="8">
    <cellStyle name="Comma" xfId="1" builtinId="3"/>
    <cellStyle name="Heading 2" xfId="2" builtinId="17"/>
    <cellStyle name="Input" xfId="3" builtinId="20" customBuiltin="1"/>
    <cellStyle name="Linked Cell" xfId="4" builtinId="24" customBuiltin="1"/>
    <cellStyle name="Multiples" xfId="6" xr:uid="{E9FF4BD1-4BEF-429F-AA76-C1C08D46E63D}"/>
    <cellStyle name="Normal" xfId="0" builtinId="0" customBuiltin="1"/>
    <cellStyle name="Percentage" xfId="7" xr:uid="{BD5CA9F7-3E89-47AA-BDAF-3EA3DADC010F}"/>
    <cellStyle name="Units" xfId="5" xr:uid="{9F2604F4-1F87-430C-808C-5E97707EEA32}"/>
  </cellStyles>
  <dxfs count="0"/>
  <tableStyles count="0" defaultTableStyle="TableStyleMedium2" defaultPivotStyle="PivotStyleLight16"/>
  <colors>
    <mruColors>
      <color rgb="FF595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3A6AE-7654-40C3-82E0-B53E79C7586C}">
  <dimension ref="B3:D9"/>
  <sheetViews>
    <sheetView showGridLines="0" workbookViewId="0">
      <selection activeCell="M17" sqref="M17"/>
    </sheetView>
  </sheetViews>
  <sheetFormatPr defaultRowHeight="14.5" x14ac:dyDescent="0.35"/>
  <sheetData>
    <row r="3" spans="2:4" ht="23.5" x14ac:dyDescent="0.55000000000000004">
      <c r="B3" s="2" t="s">
        <v>0</v>
      </c>
    </row>
    <row r="5" spans="2:4" x14ac:dyDescent="0.35">
      <c r="B5" s="1" t="str">
        <f>"Financial Model from "&amp;D9+1&amp;" to "&amp;D9+5</f>
        <v>Financial Model from 2025 to 2029</v>
      </c>
    </row>
    <row r="7" spans="2:4" x14ac:dyDescent="0.35">
      <c r="B7" t="s">
        <v>2</v>
      </c>
      <c r="D7" t="s">
        <v>3</v>
      </c>
    </row>
    <row r="9" spans="2:4" x14ac:dyDescent="0.35">
      <c r="B9" t="s">
        <v>1</v>
      </c>
      <c r="D9">
        <v>2024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09B74-262D-4C48-A300-373F79F94E37}">
  <dimension ref="A1:N88"/>
  <sheetViews>
    <sheetView showGridLines="0" zoomScale="70" zoomScaleNormal="70" workbookViewId="0">
      <pane ySplit="5" topLeftCell="A17" activePane="bottomLeft" state="frozen"/>
      <selection pane="bottomLeft" activeCell="I23" sqref="I23"/>
    </sheetView>
  </sheetViews>
  <sheetFormatPr defaultColWidth="0" defaultRowHeight="14.5" x14ac:dyDescent="0.35"/>
  <cols>
    <col min="1" max="3" width="2.36328125" customWidth="1"/>
    <col min="4" max="4" width="28.08984375" customWidth="1"/>
    <col min="5" max="5" width="8.7265625" style="14" customWidth="1"/>
    <col min="6" max="6" width="8.90625" customWidth="1"/>
    <col min="7" max="8" width="2.36328125" customWidth="1"/>
    <col min="9" max="14" width="11.7265625" customWidth="1"/>
    <col min="15" max="16384" width="8.7265625" hidden="1"/>
  </cols>
  <sheetData>
    <row r="1" spans="2:14" s="4" customFormat="1" x14ac:dyDescent="0.35">
      <c r="E1" s="25"/>
    </row>
    <row r="2" spans="2:14" s="4" customFormat="1" ht="18.5" x14ac:dyDescent="0.45">
      <c r="B2" s="5" t="str">
        <f>'Cover Page'!B3</f>
        <v>Lexa Bottling Co.</v>
      </c>
      <c r="E2" s="25"/>
      <c r="I2" s="9" t="str">
        <f>"Financial Model :"&amp;J5&amp;" to "&amp;N5</f>
        <v>Financial Model :2025 to 2029</v>
      </c>
      <c r="J2" s="10"/>
      <c r="K2" s="10"/>
      <c r="L2" s="10"/>
      <c r="M2" s="10"/>
      <c r="N2" s="11"/>
    </row>
    <row r="3" spans="2:14" s="4" customFormat="1" x14ac:dyDescent="0.35">
      <c r="B3" s="4" t="s">
        <v>8</v>
      </c>
      <c r="E3" s="25"/>
    </row>
    <row r="4" spans="2:14" x14ac:dyDescent="0.35">
      <c r="I4" s="7" t="s">
        <v>6</v>
      </c>
      <c r="J4" s="7" t="s">
        <v>7</v>
      </c>
      <c r="K4" s="7" t="s">
        <v>7</v>
      </c>
      <c r="L4" s="7" t="s">
        <v>7</v>
      </c>
      <c r="M4" s="7" t="s">
        <v>7</v>
      </c>
      <c r="N4" s="7" t="s">
        <v>7</v>
      </c>
    </row>
    <row r="5" spans="2:14" x14ac:dyDescent="0.35">
      <c r="E5" s="14" t="s">
        <v>4</v>
      </c>
      <c r="F5" t="s">
        <v>5</v>
      </c>
      <c r="I5" s="23">
        <v>2024</v>
      </c>
      <c r="J5" s="8">
        <v>2025</v>
      </c>
      <c r="K5" s="8">
        <v>2026</v>
      </c>
      <c r="L5" s="8">
        <v>2027</v>
      </c>
      <c r="M5" s="8">
        <v>2028</v>
      </c>
      <c r="N5" s="8">
        <v>2029</v>
      </c>
    </row>
    <row r="8" spans="2:14" ht="17.5" thickBot="1" x14ac:dyDescent="0.45">
      <c r="B8" s="12" t="s">
        <v>9</v>
      </c>
      <c r="C8" s="12"/>
      <c r="D8" s="12"/>
      <c r="E8" s="26"/>
      <c r="F8" s="12"/>
      <c r="G8" s="12"/>
      <c r="H8" s="12"/>
      <c r="I8" s="12"/>
      <c r="J8" s="12"/>
      <c r="K8" s="12"/>
      <c r="L8" s="12"/>
      <c r="M8" s="12"/>
      <c r="N8" s="12"/>
    </row>
    <row r="9" spans="2:14" ht="15" thickTop="1" x14ac:dyDescent="0.35"/>
    <row r="10" spans="2:14" x14ac:dyDescent="0.35">
      <c r="D10" s="13" t="s">
        <v>10</v>
      </c>
      <c r="E10" s="14" t="s">
        <v>10</v>
      </c>
      <c r="F10">
        <v>1234.56</v>
      </c>
    </row>
    <row r="11" spans="2:14" x14ac:dyDescent="0.35">
      <c r="D11" s="13" t="s">
        <v>5</v>
      </c>
      <c r="E11" s="14" t="s">
        <v>10</v>
      </c>
      <c r="F11" s="15">
        <v>1234.56</v>
      </c>
    </row>
    <row r="12" spans="2:14" x14ac:dyDescent="0.35">
      <c r="D12" s="13" t="s">
        <v>11</v>
      </c>
      <c r="E12" s="14" t="s">
        <v>10</v>
      </c>
      <c r="F12" s="16">
        <v>12.34</v>
      </c>
    </row>
    <row r="13" spans="2:14" x14ac:dyDescent="0.35">
      <c r="D13" s="13" t="s">
        <v>12</v>
      </c>
      <c r="E13" s="14" t="s">
        <v>10</v>
      </c>
      <c r="F13" s="17">
        <v>0.1234</v>
      </c>
    </row>
    <row r="14" spans="2:14" x14ac:dyDescent="0.35">
      <c r="D14" s="13" t="s">
        <v>13</v>
      </c>
      <c r="E14" s="14" t="s">
        <v>10</v>
      </c>
      <c r="F14" s="18">
        <v>1234.56</v>
      </c>
    </row>
    <row r="15" spans="2:14" x14ac:dyDescent="0.35">
      <c r="D15" s="13" t="s">
        <v>4</v>
      </c>
      <c r="E15" s="14" t="s">
        <v>14</v>
      </c>
      <c r="F15" s="19" t="s">
        <v>14</v>
      </c>
    </row>
    <row r="16" spans="2:14" x14ac:dyDescent="0.35">
      <c r="D16" s="13" t="s">
        <v>21</v>
      </c>
      <c r="F16" s="6" t="s">
        <v>22</v>
      </c>
    </row>
    <row r="19" spans="3:14" ht="17.5" thickBot="1" x14ac:dyDescent="0.45">
      <c r="C19" s="22" t="s">
        <v>18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</row>
    <row r="20" spans="3:14" ht="15" thickTop="1" x14ac:dyDescent="0.35">
      <c r="E20"/>
    </row>
    <row r="21" spans="3:14" x14ac:dyDescent="0.35">
      <c r="D21" t="s">
        <v>23</v>
      </c>
      <c r="E21" s="14" t="s">
        <v>19</v>
      </c>
      <c r="J21" s="17">
        <v>0.2</v>
      </c>
      <c r="K21" s="17">
        <v>0.15</v>
      </c>
      <c r="L21" s="17">
        <v>0.12</v>
      </c>
      <c r="M21" s="17">
        <v>0.1</v>
      </c>
      <c r="N21" s="17">
        <v>0.08</v>
      </c>
    </row>
    <row r="22" spans="3:14" x14ac:dyDescent="0.35">
      <c r="J22" s="17"/>
      <c r="K22" s="17"/>
      <c r="L22" s="17"/>
      <c r="M22" s="17"/>
      <c r="N22" s="17"/>
    </row>
    <row r="23" spans="3:14" x14ac:dyDescent="0.35">
      <c r="D23" t="s">
        <v>33</v>
      </c>
      <c r="E23" s="14" t="str">
        <f>currency</f>
        <v>₦'mn</v>
      </c>
      <c r="I23">
        <v>2200</v>
      </c>
      <c r="J23" s="17"/>
      <c r="K23" s="17"/>
      <c r="L23" s="17"/>
      <c r="M23" s="17"/>
      <c r="N23" s="17"/>
    </row>
    <row r="24" spans="3:14" x14ac:dyDescent="0.35">
      <c r="D24" s="21"/>
      <c r="J24" s="24"/>
    </row>
    <row r="25" spans="3:14" ht="17.5" thickBot="1" x14ac:dyDescent="0.45">
      <c r="C25" s="22" t="s">
        <v>15</v>
      </c>
      <c r="D25" s="22"/>
      <c r="E25" s="22"/>
      <c r="F25" s="22"/>
      <c r="G25" s="22"/>
      <c r="H25" s="22"/>
      <c r="I25" s="22"/>
      <c r="J25" s="27"/>
      <c r="K25" s="22"/>
      <c r="L25" s="22"/>
      <c r="M25" s="22"/>
      <c r="N25" s="22"/>
    </row>
    <row r="26" spans="3:14" ht="15" thickTop="1" x14ac:dyDescent="0.35">
      <c r="D26" s="21"/>
      <c r="J26" s="24"/>
    </row>
    <row r="27" spans="3:14" x14ac:dyDescent="0.35">
      <c r="D27" t="s">
        <v>23</v>
      </c>
      <c r="E27" s="14" t="s">
        <v>20</v>
      </c>
      <c r="I27" s="17">
        <v>0.34</v>
      </c>
      <c r="J27" s="17">
        <v>0.34</v>
      </c>
      <c r="K27" s="17">
        <v>0.35</v>
      </c>
      <c r="L27" s="17">
        <v>0.35499999999999998</v>
      </c>
      <c r="M27" s="17">
        <v>0.36</v>
      </c>
      <c r="N27" s="17">
        <v>0.36</v>
      </c>
    </row>
    <row r="28" spans="3:14" x14ac:dyDescent="0.35">
      <c r="J28" s="17"/>
      <c r="K28" s="17"/>
      <c r="L28" s="17"/>
      <c r="M28" s="17"/>
      <c r="N28" s="17"/>
    </row>
    <row r="29" spans="3:14" x14ac:dyDescent="0.35">
      <c r="J29" s="17"/>
      <c r="K29" s="17"/>
      <c r="L29" s="17"/>
      <c r="M29" s="17"/>
      <c r="N29" s="17"/>
    </row>
    <row r="30" spans="3:14" ht="17.5" thickBot="1" x14ac:dyDescent="0.45">
      <c r="C30" s="22" t="s">
        <v>17</v>
      </c>
      <c r="D30" s="22"/>
      <c r="E30" s="22"/>
      <c r="F30" s="22"/>
      <c r="G30" s="22"/>
      <c r="H30" s="22"/>
      <c r="I30" s="22"/>
      <c r="J30" s="27"/>
      <c r="K30" s="22"/>
      <c r="L30" s="22"/>
      <c r="M30" s="22"/>
      <c r="N30" s="22"/>
    </row>
    <row r="31" spans="3:14" ht="15" thickTop="1" x14ac:dyDescent="0.35">
      <c r="J31" s="24"/>
    </row>
    <row r="32" spans="3:14" x14ac:dyDescent="0.35">
      <c r="D32" t="s">
        <v>23</v>
      </c>
      <c r="E32" s="14" t="s">
        <v>20</v>
      </c>
      <c r="I32" s="17">
        <v>0.18</v>
      </c>
      <c r="J32" s="17">
        <v>0.1855</v>
      </c>
      <c r="K32" s="17">
        <v>0.19</v>
      </c>
      <c r="L32" s="17">
        <v>0.2</v>
      </c>
      <c r="M32" s="17">
        <v>0.21</v>
      </c>
      <c r="N32" s="17">
        <v>0.23</v>
      </c>
    </row>
    <row r="33" spans="3:14" x14ac:dyDescent="0.35">
      <c r="I33" s="17"/>
      <c r="J33" s="17"/>
      <c r="K33" s="17"/>
      <c r="L33" s="17"/>
      <c r="M33" s="17"/>
      <c r="N33" s="17"/>
    </row>
    <row r="34" spans="3:14" x14ac:dyDescent="0.35">
      <c r="I34" s="17"/>
      <c r="J34" s="17"/>
      <c r="K34" s="17"/>
      <c r="L34" s="17"/>
      <c r="M34" s="17"/>
      <c r="N34" s="17"/>
    </row>
    <row r="35" spans="3:14" ht="17.5" thickBot="1" x14ac:dyDescent="0.45">
      <c r="C35" s="22" t="s">
        <v>24</v>
      </c>
      <c r="D35" s="22"/>
      <c r="E35" s="22"/>
      <c r="F35" s="22"/>
      <c r="G35" s="22"/>
      <c r="H35" s="22"/>
      <c r="I35" s="22"/>
      <c r="J35" s="27"/>
      <c r="K35" s="22"/>
      <c r="L35" s="22"/>
      <c r="M35" s="22"/>
      <c r="N35" s="22"/>
    </row>
    <row r="36" spans="3:14" ht="15" thickTop="1" x14ac:dyDescent="0.35">
      <c r="E36"/>
    </row>
    <row r="37" spans="3:14" x14ac:dyDescent="0.35">
      <c r="D37" t="s">
        <v>25</v>
      </c>
      <c r="E37" s="14" t="str">
        <f>currency</f>
        <v>₦'mn</v>
      </c>
      <c r="J37" s="24">
        <v>1200</v>
      </c>
    </row>
    <row r="38" spans="3:14" x14ac:dyDescent="0.35">
      <c r="J38" s="24"/>
    </row>
    <row r="39" spans="3:14" x14ac:dyDescent="0.35">
      <c r="D39" s="28" t="s">
        <v>26</v>
      </c>
      <c r="E39" s="29" t="s">
        <v>27</v>
      </c>
      <c r="F39" s="30"/>
      <c r="J39" s="24"/>
    </row>
    <row r="40" spans="3:14" x14ac:dyDescent="0.35">
      <c r="J40" s="24"/>
    </row>
    <row r="41" spans="3:14" x14ac:dyDescent="0.35">
      <c r="C41" s="1" t="s">
        <v>28</v>
      </c>
      <c r="E41" s="14" t="s">
        <v>29</v>
      </c>
      <c r="F41">
        <v>7</v>
      </c>
      <c r="J41" s="24"/>
    </row>
    <row r="42" spans="3:14" x14ac:dyDescent="0.35">
      <c r="C42" s="1"/>
      <c r="J42" s="24"/>
    </row>
    <row r="43" spans="3:14" x14ac:dyDescent="0.35">
      <c r="C43" s="1"/>
      <c r="D43" t="s">
        <v>38</v>
      </c>
      <c r="E43" s="14" t="str">
        <f>currency</f>
        <v>₦'mn</v>
      </c>
      <c r="I43">
        <v>75</v>
      </c>
      <c r="J43" s="24">
        <f>$J$37/$F$41</f>
        <v>171.42857142857142</v>
      </c>
      <c r="K43" s="24">
        <f t="shared" ref="K43:N43" si="0">$J$37/$F$41</f>
        <v>171.42857142857142</v>
      </c>
      <c r="L43" s="24">
        <f t="shared" si="0"/>
        <v>171.42857142857142</v>
      </c>
      <c r="M43" s="24">
        <f t="shared" si="0"/>
        <v>171.42857142857142</v>
      </c>
      <c r="N43" s="24">
        <f t="shared" si="0"/>
        <v>171.42857142857142</v>
      </c>
    </row>
    <row r="44" spans="3:14" x14ac:dyDescent="0.35">
      <c r="C44" s="1"/>
      <c r="J44" s="24"/>
      <c r="K44" s="24"/>
      <c r="L44" s="24"/>
      <c r="M44" s="24"/>
      <c r="N44" s="24"/>
    </row>
    <row r="45" spans="3:14" x14ac:dyDescent="0.35">
      <c r="C45" s="1"/>
      <c r="D45" t="s">
        <v>55</v>
      </c>
      <c r="E45" s="14" t="str">
        <f>currency</f>
        <v>₦'mn</v>
      </c>
      <c r="I45">
        <f>H48</f>
        <v>500</v>
      </c>
      <c r="J45">
        <f t="shared" ref="J45:N45" si="1">I48</f>
        <v>425</v>
      </c>
      <c r="K45">
        <f t="shared" si="1"/>
        <v>1453.5714285714287</v>
      </c>
      <c r="L45">
        <f t="shared" si="1"/>
        <v>1282.1428571428573</v>
      </c>
      <c r="M45">
        <f t="shared" si="1"/>
        <v>1110.714285714286</v>
      </c>
      <c r="N45">
        <f t="shared" si="1"/>
        <v>939.28571428571456</v>
      </c>
    </row>
    <row r="46" spans="3:14" x14ac:dyDescent="0.35">
      <c r="C46" s="1"/>
      <c r="D46" t="str">
        <f>D37</f>
        <v>Additions</v>
      </c>
      <c r="E46" t="str">
        <f>E37</f>
        <v>₦'mn</v>
      </c>
      <c r="I46">
        <v>0</v>
      </c>
      <c r="J46">
        <f>J37</f>
        <v>1200</v>
      </c>
      <c r="K46">
        <f t="shared" ref="K46:N46" si="2">K37</f>
        <v>0</v>
      </c>
      <c r="L46">
        <f t="shared" si="2"/>
        <v>0</v>
      </c>
      <c r="M46">
        <f t="shared" si="2"/>
        <v>0</v>
      </c>
      <c r="N46">
        <f t="shared" si="2"/>
        <v>0</v>
      </c>
    </row>
    <row r="47" spans="3:14" x14ac:dyDescent="0.35">
      <c r="C47" s="1"/>
      <c r="D47" t="str">
        <f>D43</f>
        <v>Depreciation</v>
      </c>
      <c r="E47" s="14" t="str">
        <f>currency</f>
        <v>₦'mn</v>
      </c>
      <c r="I47">
        <f>I43</f>
        <v>75</v>
      </c>
      <c r="J47">
        <f t="shared" ref="J47:N47" si="3">J43</f>
        <v>171.42857142857142</v>
      </c>
      <c r="K47">
        <f t="shared" si="3"/>
        <v>171.42857142857142</v>
      </c>
      <c r="L47">
        <f t="shared" si="3"/>
        <v>171.42857142857142</v>
      </c>
      <c r="M47">
        <f t="shared" si="3"/>
        <v>171.42857142857142</v>
      </c>
      <c r="N47">
        <f t="shared" si="3"/>
        <v>171.42857142857142</v>
      </c>
    </row>
    <row r="48" spans="3:14" s="1" customFormat="1" x14ac:dyDescent="0.35">
      <c r="D48" s="1" t="s">
        <v>56</v>
      </c>
      <c r="E48" s="32" t="str">
        <f>currency</f>
        <v>₦'mn</v>
      </c>
      <c r="H48" s="1">
        <v>500</v>
      </c>
      <c r="I48" s="1">
        <f>I45+I46-I47</f>
        <v>425</v>
      </c>
      <c r="J48" s="1">
        <f t="shared" ref="J48:N48" si="4">J45+J46-J47</f>
        <v>1453.5714285714287</v>
      </c>
      <c r="K48" s="1">
        <f t="shared" si="4"/>
        <v>1282.1428571428573</v>
      </c>
      <c r="L48" s="1">
        <f t="shared" si="4"/>
        <v>1110.714285714286</v>
      </c>
      <c r="M48" s="1">
        <f t="shared" si="4"/>
        <v>939.28571428571456</v>
      </c>
      <c r="N48" s="1">
        <f t="shared" si="4"/>
        <v>767.85714285714312</v>
      </c>
    </row>
    <row r="49" spans="2:14" x14ac:dyDescent="0.35">
      <c r="C49" s="1"/>
      <c r="J49" s="24"/>
    </row>
    <row r="50" spans="2:14" x14ac:dyDescent="0.35">
      <c r="C50" s="1"/>
      <c r="J50" s="24"/>
    </row>
    <row r="51" spans="2:14" x14ac:dyDescent="0.35">
      <c r="C51" s="1"/>
      <c r="J51" s="24"/>
    </row>
    <row r="52" spans="2:14" ht="17.5" thickBot="1" x14ac:dyDescent="0.45">
      <c r="C52" s="22" t="s">
        <v>16</v>
      </c>
      <c r="D52" s="22"/>
      <c r="E52" s="22"/>
      <c r="F52" s="22"/>
      <c r="G52" s="22"/>
      <c r="H52" s="22"/>
      <c r="I52" s="22"/>
      <c r="J52" s="27"/>
      <c r="K52" s="22"/>
      <c r="L52" s="22"/>
      <c r="M52" s="22"/>
      <c r="N52" s="22"/>
    </row>
    <row r="53" spans="2:14" ht="15" thickTop="1" x14ac:dyDescent="0.35">
      <c r="J53" s="24"/>
    </row>
    <row r="54" spans="2:14" x14ac:dyDescent="0.35">
      <c r="D54" t="s">
        <v>23</v>
      </c>
      <c r="I54" s="17">
        <v>0.12</v>
      </c>
      <c r="J54" s="17">
        <v>0.12</v>
      </c>
      <c r="K54" s="17">
        <v>0.11749999999999999</v>
      </c>
      <c r="L54" s="17">
        <v>0.115</v>
      </c>
      <c r="M54" s="17">
        <v>0.1065</v>
      </c>
      <c r="N54" s="17">
        <v>0.1</v>
      </c>
    </row>
    <row r="56" spans="2:14" x14ac:dyDescent="0.35">
      <c r="B56" t="s">
        <v>61</v>
      </c>
    </row>
    <row r="57" spans="2:14" ht="17.5" thickBot="1" x14ac:dyDescent="0.45">
      <c r="C57" s="22" t="s">
        <v>40</v>
      </c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</row>
    <row r="58" spans="2:14" ht="15" thickTop="1" x14ac:dyDescent="0.35"/>
    <row r="59" spans="2:14" x14ac:dyDescent="0.35">
      <c r="D59" t="s">
        <v>41</v>
      </c>
      <c r="E59" s="14" t="str">
        <f>currency</f>
        <v>₦'mn</v>
      </c>
      <c r="I59">
        <v>500</v>
      </c>
    </row>
    <row r="61" spans="2:14" x14ac:dyDescent="0.35">
      <c r="D61" t="s">
        <v>42</v>
      </c>
      <c r="E61" s="14" t="s">
        <v>19</v>
      </c>
      <c r="F61" s="17">
        <v>0.13</v>
      </c>
      <c r="I61" s="14"/>
    </row>
    <row r="63" spans="2:14" x14ac:dyDescent="0.35">
      <c r="D63" t="s">
        <v>43</v>
      </c>
      <c r="E63" s="14" t="str">
        <f>currency</f>
        <v>₦'mn</v>
      </c>
      <c r="I63">
        <f>$I$59*$F$61</f>
        <v>65</v>
      </c>
      <c r="J63">
        <f t="shared" ref="J63:N63" si="5">$I$59*$F$61</f>
        <v>65</v>
      </c>
      <c r="K63">
        <f t="shared" si="5"/>
        <v>65</v>
      </c>
      <c r="L63">
        <f t="shared" si="5"/>
        <v>65</v>
      </c>
      <c r="M63">
        <f t="shared" si="5"/>
        <v>65</v>
      </c>
      <c r="N63">
        <f t="shared" si="5"/>
        <v>65</v>
      </c>
    </row>
    <row r="65" spans="4:14" x14ac:dyDescent="0.35">
      <c r="D65" t="s">
        <v>44</v>
      </c>
      <c r="E65" s="14" t="str">
        <f>currency</f>
        <v>₦'mn</v>
      </c>
      <c r="J65">
        <v>1500</v>
      </c>
    </row>
    <row r="67" spans="4:14" x14ac:dyDescent="0.35">
      <c r="D67" t="s">
        <v>45</v>
      </c>
      <c r="E67" s="14" t="s">
        <v>19</v>
      </c>
      <c r="F67" s="17">
        <v>0.32500000000000001</v>
      </c>
    </row>
    <row r="69" spans="4:14" x14ac:dyDescent="0.35">
      <c r="D69" t="s">
        <v>48</v>
      </c>
      <c r="E69" s="14" t="str">
        <f>currency</f>
        <v>₦'mn</v>
      </c>
      <c r="J69">
        <f>$F$67*$J$65</f>
        <v>487.5</v>
      </c>
      <c r="K69">
        <f t="shared" ref="K69:N69" si="6">$F$67*$J$65</f>
        <v>487.5</v>
      </c>
      <c r="L69">
        <f t="shared" si="6"/>
        <v>487.5</v>
      </c>
      <c r="M69">
        <f t="shared" si="6"/>
        <v>487.5</v>
      </c>
      <c r="N69">
        <f t="shared" si="6"/>
        <v>487.5</v>
      </c>
    </row>
    <row r="71" spans="4:14" x14ac:dyDescent="0.35">
      <c r="D71" t="str">
        <f>D74</f>
        <v>Interest Expense</v>
      </c>
      <c r="E71" t="str">
        <f>E74</f>
        <v>₦'mn</v>
      </c>
      <c r="I71">
        <f>I63+I69</f>
        <v>65</v>
      </c>
      <c r="J71">
        <f t="shared" ref="J71:N71" si="7">J63+J69</f>
        <v>552.5</v>
      </c>
      <c r="K71">
        <f t="shared" si="7"/>
        <v>552.5</v>
      </c>
      <c r="L71">
        <f t="shared" si="7"/>
        <v>552.5</v>
      </c>
      <c r="M71">
        <f t="shared" si="7"/>
        <v>552.5</v>
      </c>
      <c r="N71">
        <f t="shared" si="7"/>
        <v>552.5</v>
      </c>
    </row>
    <row r="72" spans="4:14" x14ac:dyDescent="0.35">
      <c r="D72" t="s">
        <v>50</v>
      </c>
      <c r="E72" t="s">
        <v>19</v>
      </c>
      <c r="J72" s="17">
        <v>0.3</v>
      </c>
      <c r="K72" s="17">
        <v>0.3</v>
      </c>
      <c r="L72" s="17">
        <v>0.3</v>
      </c>
      <c r="M72" s="17">
        <v>0.3</v>
      </c>
      <c r="N72" s="17">
        <v>0.3</v>
      </c>
    </row>
    <row r="74" spans="4:14" s="1" customFormat="1" x14ac:dyDescent="0.35">
      <c r="D74" s="1" t="s">
        <v>49</v>
      </c>
      <c r="E74" s="32" t="str">
        <f>currency</f>
        <v>₦'mn</v>
      </c>
      <c r="I74" s="1">
        <f>I63+I69</f>
        <v>65</v>
      </c>
      <c r="J74" s="1">
        <f>J71*(1-J72)</f>
        <v>386.75</v>
      </c>
      <c r="K74" s="1">
        <f t="shared" ref="K74:N74" si="8">K71*(1-K72)</f>
        <v>386.75</v>
      </c>
      <c r="L74" s="1">
        <f t="shared" si="8"/>
        <v>386.75</v>
      </c>
      <c r="M74" s="1">
        <f t="shared" si="8"/>
        <v>386.75</v>
      </c>
      <c r="N74" s="1">
        <f t="shared" si="8"/>
        <v>386.75</v>
      </c>
    </row>
    <row r="76" spans="4:14" x14ac:dyDescent="0.35">
      <c r="D76" t="s">
        <v>55</v>
      </c>
      <c r="E76" s="14" t="str">
        <f>currency</f>
        <v>₦'mn</v>
      </c>
      <c r="I76">
        <f>H79</f>
        <v>500</v>
      </c>
      <c r="J76">
        <f t="shared" ref="J76:N76" si="9">I79</f>
        <v>435</v>
      </c>
      <c r="K76">
        <f t="shared" si="9"/>
        <v>1548.25</v>
      </c>
      <c r="L76">
        <f t="shared" si="9"/>
        <v>1161.5</v>
      </c>
      <c r="M76">
        <f t="shared" si="9"/>
        <v>774.75</v>
      </c>
      <c r="N76">
        <f t="shared" si="9"/>
        <v>388</v>
      </c>
    </row>
    <row r="77" spans="4:14" x14ac:dyDescent="0.35">
      <c r="D77" t="str">
        <f>D65</f>
        <v>New External Capital - Debt</v>
      </c>
      <c r="E77" t="str">
        <f>E65</f>
        <v>₦'mn</v>
      </c>
      <c r="J77">
        <f>J65</f>
        <v>1500</v>
      </c>
      <c r="K77">
        <f t="shared" ref="K77:N77" si="10">K65</f>
        <v>0</v>
      </c>
      <c r="L77">
        <f t="shared" si="10"/>
        <v>0</v>
      </c>
      <c r="M77">
        <f t="shared" si="10"/>
        <v>0</v>
      </c>
      <c r="N77">
        <f t="shared" si="10"/>
        <v>0</v>
      </c>
    </row>
    <row r="78" spans="4:14" x14ac:dyDescent="0.35">
      <c r="D78" t="str">
        <f>D74</f>
        <v>Interest Expense</v>
      </c>
      <c r="E78" s="14" t="str">
        <f>currency</f>
        <v>₦'mn</v>
      </c>
      <c r="I78">
        <f>I74</f>
        <v>65</v>
      </c>
      <c r="J78">
        <f>J74</f>
        <v>386.75</v>
      </c>
      <c r="K78">
        <f t="shared" ref="K78:N78" si="11">K74</f>
        <v>386.75</v>
      </c>
      <c r="L78">
        <f t="shared" si="11"/>
        <v>386.75</v>
      </c>
      <c r="M78">
        <f t="shared" si="11"/>
        <v>386.75</v>
      </c>
      <c r="N78">
        <f t="shared" si="11"/>
        <v>386.75</v>
      </c>
    </row>
    <row r="79" spans="4:14" s="1" customFormat="1" x14ac:dyDescent="0.35">
      <c r="D79" s="1" t="s">
        <v>56</v>
      </c>
      <c r="E79" s="32" t="str">
        <f>currency</f>
        <v>₦'mn</v>
      </c>
      <c r="H79" s="1">
        <f>I59</f>
        <v>500</v>
      </c>
      <c r="I79" s="1">
        <f>I76+I77-I78</f>
        <v>435</v>
      </c>
      <c r="J79" s="1">
        <f>J76+J77-J78</f>
        <v>1548.25</v>
      </c>
      <c r="K79" s="1">
        <f t="shared" ref="K79:N79" si="12">K76+K77-K78</f>
        <v>1161.5</v>
      </c>
      <c r="L79" s="1">
        <f t="shared" si="12"/>
        <v>774.75</v>
      </c>
      <c r="M79" s="1">
        <f t="shared" si="12"/>
        <v>388</v>
      </c>
      <c r="N79" s="1">
        <f t="shared" si="12"/>
        <v>1.25</v>
      </c>
    </row>
    <row r="82" spans="2:14" x14ac:dyDescent="0.35">
      <c r="D82" s="14" t="s">
        <v>46</v>
      </c>
      <c r="F82" s="14"/>
      <c r="G82" s="14"/>
      <c r="H82" s="14"/>
      <c r="I82" s="14"/>
    </row>
    <row r="83" spans="2:14" x14ac:dyDescent="0.35">
      <c r="D83" s="14" t="str">
        <f>D67</f>
        <v>Interest rate on new debt</v>
      </c>
      <c r="F83" s="14" t="s">
        <v>47</v>
      </c>
      <c r="G83" s="14"/>
      <c r="H83" s="14"/>
      <c r="I83" s="14"/>
    </row>
    <row r="85" spans="2:14" x14ac:dyDescent="0.35">
      <c r="B85" t="s">
        <v>60</v>
      </c>
    </row>
    <row r="86" spans="2:14" ht="17.5" thickBot="1" x14ac:dyDescent="0.45">
      <c r="C86" s="22" t="s">
        <v>59</v>
      </c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</row>
    <row r="87" spans="2:14" ht="15" thickTop="1" x14ac:dyDescent="0.35"/>
    <row r="88" spans="2:14" x14ac:dyDescent="0.35">
      <c r="D88" t="s">
        <v>62</v>
      </c>
      <c r="E88" s="14" t="str">
        <f>currency</f>
        <v>₦'mn</v>
      </c>
      <c r="J88">
        <v>1500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670D8-EDB8-4BF4-9CB6-A6575AABA089}">
  <dimension ref="A1:N40"/>
  <sheetViews>
    <sheetView showGridLines="0" zoomScale="70" zoomScaleNormal="70" workbookViewId="0">
      <pane ySplit="5" topLeftCell="A6" activePane="bottomLeft" state="frozen"/>
      <selection pane="bottomLeft" activeCell="I11" sqref="I11"/>
    </sheetView>
  </sheetViews>
  <sheetFormatPr defaultColWidth="0" defaultRowHeight="14.5" x14ac:dyDescent="0.35"/>
  <cols>
    <col min="1" max="3" width="2.36328125" customWidth="1"/>
    <col min="4" max="4" width="28.08984375" customWidth="1"/>
    <col min="5" max="5" width="8.7265625" style="14" customWidth="1"/>
    <col min="6" max="6" width="8.90625" customWidth="1"/>
    <col min="7" max="8" width="2.36328125" customWidth="1"/>
    <col min="9" max="14" width="11.7265625" customWidth="1"/>
    <col min="15" max="16384" width="8.7265625" hidden="1"/>
  </cols>
  <sheetData>
    <row r="1" spans="2:14" s="4" customFormat="1" x14ac:dyDescent="0.35">
      <c r="E1" s="25"/>
    </row>
    <row r="2" spans="2:14" s="4" customFormat="1" ht="18.5" x14ac:dyDescent="0.45">
      <c r="B2" s="5" t="str">
        <f>'Cover Page'!B3</f>
        <v>Lexa Bottling Co.</v>
      </c>
      <c r="E2" s="25"/>
      <c r="I2" s="9" t="str">
        <f>"Financial Model :"&amp;J5&amp;" to "&amp;N5</f>
        <v>Financial Model :2025 to 2029</v>
      </c>
      <c r="J2" s="10"/>
      <c r="K2" s="10"/>
      <c r="L2" s="10"/>
      <c r="M2" s="10"/>
      <c r="N2" s="11"/>
    </row>
    <row r="3" spans="2:14" s="4" customFormat="1" x14ac:dyDescent="0.35">
      <c r="B3" s="4" t="s">
        <v>30</v>
      </c>
      <c r="E3" s="25"/>
    </row>
    <row r="4" spans="2:14" x14ac:dyDescent="0.35">
      <c r="I4" s="7" t="s">
        <v>6</v>
      </c>
      <c r="J4" s="7" t="s">
        <v>7</v>
      </c>
      <c r="K4" s="7" t="s">
        <v>7</v>
      </c>
      <c r="L4" s="7" t="s">
        <v>7</v>
      </c>
      <c r="M4" s="7" t="s">
        <v>7</v>
      </c>
      <c r="N4" s="7" t="s">
        <v>7</v>
      </c>
    </row>
    <row r="5" spans="2:14" x14ac:dyDescent="0.35">
      <c r="E5" s="14" t="s">
        <v>4</v>
      </c>
      <c r="F5" t="s">
        <v>5</v>
      </c>
      <c r="I5" s="23">
        <v>2024</v>
      </c>
      <c r="J5" s="8">
        <v>2025</v>
      </c>
      <c r="K5" s="8">
        <v>2026</v>
      </c>
      <c r="L5" s="8">
        <v>2027</v>
      </c>
      <c r="M5" s="8">
        <v>2028</v>
      </c>
      <c r="N5" s="8">
        <v>2029</v>
      </c>
    </row>
    <row r="7" spans="2:14" ht="18.5" x14ac:dyDescent="0.45">
      <c r="B7" s="3" t="s">
        <v>31</v>
      </c>
    </row>
    <row r="9" spans="2:14" x14ac:dyDescent="0.35">
      <c r="D9" t="s">
        <v>32</v>
      </c>
      <c r="E9" s="14" t="str">
        <f>currency</f>
        <v>₦'mn</v>
      </c>
      <c r="I9">
        <f>Assumptions!I23</f>
        <v>2200</v>
      </c>
      <c r="J9">
        <f>I9*(1+Assumptions!J21)</f>
        <v>2640</v>
      </c>
      <c r="K9">
        <f>J9*(1+Assumptions!K21)</f>
        <v>3035.9999999999995</v>
      </c>
      <c r="L9">
        <f>K9*(1+Assumptions!L21)</f>
        <v>3400.3199999999997</v>
      </c>
      <c r="M9">
        <f>L9*(1+Assumptions!M21)</f>
        <v>3740.3519999999999</v>
      </c>
      <c r="N9">
        <f>M9*(1+Assumptions!N21)</f>
        <v>4039.58016</v>
      </c>
    </row>
    <row r="10" spans="2:14" x14ac:dyDescent="0.35">
      <c r="D10" t="s">
        <v>34</v>
      </c>
      <c r="E10" s="14" t="str">
        <f>currency</f>
        <v>₦'mn</v>
      </c>
      <c r="I10">
        <f>I9*(1-Assumptions!I27)</f>
        <v>1451.9999999999998</v>
      </c>
      <c r="J10">
        <f>J9*(1-Assumptions!J27)</f>
        <v>1742.3999999999999</v>
      </c>
      <c r="K10">
        <f>K9*(1-Assumptions!K27)</f>
        <v>1973.3999999999999</v>
      </c>
      <c r="L10">
        <f>L9*(1-Assumptions!L27)</f>
        <v>2193.2064</v>
      </c>
      <c r="M10">
        <f>M9*(1-Assumptions!M27)</f>
        <v>2393.82528</v>
      </c>
      <c r="N10">
        <f>N9*(1-Assumptions!N27)</f>
        <v>2585.3313023999999</v>
      </c>
    </row>
    <row r="11" spans="2:14" s="1" customFormat="1" x14ac:dyDescent="0.35">
      <c r="D11" s="1" t="s">
        <v>35</v>
      </c>
      <c r="E11" s="14" t="str">
        <f>currency</f>
        <v>₦'mn</v>
      </c>
      <c r="I11" s="31">
        <f>I9*Assumptions!I27</f>
        <v>748</v>
      </c>
      <c r="J11" s="31">
        <f>J9*Assumptions!J27</f>
        <v>897.6</v>
      </c>
      <c r="K11" s="31">
        <f>K9*Assumptions!K27</f>
        <v>1062.5999999999997</v>
      </c>
      <c r="L11" s="31">
        <f>L9*Assumptions!L27</f>
        <v>1207.1135999999999</v>
      </c>
      <c r="M11" s="31">
        <f>M9*Assumptions!M27</f>
        <v>1346.5267199999998</v>
      </c>
      <c r="N11" s="31">
        <f>N9*Assumptions!N27</f>
        <v>1454.2488575999998</v>
      </c>
    </row>
    <row r="13" spans="2:14" x14ac:dyDescent="0.35">
      <c r="D13" t="s">
        <v>36</v>
      </c>
      <c r="E13" s="14" t="str">
        <f>currency</f>
        <v>₦'mn</v>
      </c>
      <c r="I13">
        <f>I11-I14</f>
        <v>352</v>
      </c>
      <c r="J13">
        <f t="shared" ref="J13:N13" si="0">J11-J14</f>
        <v>407.88000000000005</v>
      </c>
      <c r="K13">
        <f t="shared" si="0"/>
        <v>485.75999999999976</v>
      </c>
      <c r="L13">
        <f t="shared" si="0"/>
        <v>527.04959999999994</v>
      </c>
      <c r="M13">
        <f t="shared" si="0"/>
        <v>561.05279999999993</v>
      </c>
      <c r="N13">
        <f t="shared" si="0"/>
        <v>525.14542079999978</v>
      </c>
    </row>
    <row r="14" spans="2:14" s="1" customFormat="1" x14ac:dyDescent="0.35">
      <c r="D14" s="1" t="s">
        <v>37</v>
      </c>
      <c r="E14" s="14" t="str">
        <f>currency</f>
        <v>₦'mn</v>
      </c>
      <c r="I14" s="31">
        <f>I9*Assumptions!I32</f>
        <v>396</v>
      </c>
      <c r="J14" s="31">
        <f>J9*Assumptions!J32</f>
        <v>489.71999999999997</v>
      </c>
      <c r="K14" s="31">
        <f>K9*Assumptions!K32</f>
        <v>576.83999999999992</v>
      </c>
      <c r="L14" s="31">
        <f>L9*Assumptions!L32</f>
        <v>680.06399999999996</v>
      </c>
      <c r="M14" s="31">
        <f>M9*Assumptions!M32</f>
        <v>785.47391999999991</v>
      </c>
      <c r="N14" s="31">
        <f>N9*Assumptions!N32</f>
        <v>929.10343680000005</v>
      </c>
    </row>
    <row r="16" spans="2:14" x14ac:dyDescent="0.35">
      <c r="D16" t="s">
        <v>38</v>
      </c>
      <c r="E16" s="14" t="str">
        <f>currency</f>
        <v>₦'mn</v>
      </c>
      <c r="I16">
        <f>Assumptions!I43</f>
        <v>75</v>
      </c>
      <c r="J16">
        <f>Assumptions!J43</f>
        <v>171.42857142857142</v>
      </c>
      <c r="K16">
        <f>Assumptions!K43</f>
        <v>171.42857142857142</v>
      </c>
      <c r="L16">
        <f>Assumptions!L43</f>
        <v>171.42857142857142</v>
      </c>
      <c r="M16">
        <f>Assumptions!M43</f>
        <v>171.42857142857142</v>
      </c>
      <c r="N16">
        <f>Assumptions!N43</f>
        <v>171.42857142857142</v>
      </c>
    </row>
    <row r="17" spans="1:14" s="1" customFormat="1" x14ac:dyDescent="0.35">
      <c r="D17" s="1" t="s">
        <v>39</v>
      </c>
      <c r="E17" s="14" t="str">
        <f>currency</f>
        <v>₦'mn</v>
      </c>
      <c r="I17" s="31">
        <f>I14-I16</f>
        <v>321</v>
      </c>
      <c r="J17" s="31">
        <f t="shared" ref="J17:N17" si="1">J14-J16</f>
        <v>318.29142857142858</v>
      </c>
      <c r="K17" s="31">
        <f t="shared" si="1"/>
        <v>405.41142857142847</v>
      </c>
      <c r="L17" s="31">
        <f t="shared" si="1"/>
        <v>508.63542857142852</v>
      </c>
      <c r="M17" s="31">
        <f t="shared" si="1"/>
        <v>614.04534857142846</v>
      </c>
      <c r="N17" s="31">
        <f t="shared" si="1"/>
        <v>757.67486537142861</v>
      </c>
    </row>
    <row r="19" spans="1:14" x14ac:dyDescent="0.35">
      <c r="D19" t="str">
        <f>Assumptions!D74</f>
        <v>Interest Expense</v>
      </c>
      <c r="E19" s="14" t="str">
        <f>Assumptions!E74</f>
        <v>₦'mn</v>
      </c>
      <c r="I19">
        <f>Assumptions!I74</f>
        <v>65</v>
      </c>
      <c r="J19">
        <f>Assumptions!J74</f>
        <v>386.75</v>
      </c>
      <c r="K19">
        <f>Assumptions!K74</f>
        <v>386.75</v>
      </c>
      <c r="L19">
        <f>Assumptions!L74</f>
        <v>386.75</v>
      </c>
      <c r="M19">
        <f>Assumptions!M74</f>
        <v>386.75</v>
      </c>
      <c r="N19">
        <f>Assumptions!N74</f>
        <v>386.75</v>
      </c>
    </row>
    <row r="20" spans="1:14" s="1" customFormat="1" x14ac:dyDescent="0.35">
      <c r="D20" s="1" t="s">
        <v>52</v>
      </c>
      <c r="E20" s="14" t="str">
        <f>currency</f>
        <v>₦'mn</v>
      </c>
      <c r="I20" s="1">
        <f>I17-I19</f>
        <v>256</v>
      </c>
      <c r="J20" s="1">
        <f t="shared" ref="J20:N20" si="2">J17-J19</f>
        <v>-68.458571428571418</v>
      </c>
      <c r="K20" s="1">
        <f t="shared" si="2"/>
        <v>18.661428571428473</v>
      </c>
      <c r="L20" s="1">
        <f t="shared" si="2"/>
        <v>121.88542857142852</v>
      </c>
      <c r="M20" s="1">
        <f t="shared" si="2"/>
        <v>227.29534857142846</v>
      </c>
      <c r="N20" s="1">
        <f t="shared" si="2"/>
        <v>370.92486537142861</v>
      </c>
    </row>
    <row r="22" spans="1:14" x14ac:dyDescent="0.35">
      <c r="I22" t="s">
        <v>51</v>
      </c>
    </row>
    <row r="23" spans="1:14" ht="18.5" x14ac:dyDescent="0.45">
      <c r="B23" s="3" t="s">
        <v>53</v>
      </c>
    </row>
    <row r="24" spans="1:14" x14ac:dyDescent="0.35">
      <c r="A24" t="s">
        <v>61</v>
      </c>
    </row>
    <row r="25" spans="1:14" x14ac:dyDescent="0.35">
      <c r="C25" t="s">
        <v>54</v>
      </c>
    </row>
    <row r="26" spans="1:14" x14ac:dyDescent="0.35">
      <c r="D26" t="s">
        <v>63</v>
      </c>
      <c r="E26" s="14" t="str">
        <f>currency</f>
        <v>₦'mn</v>
      </c>
      <c r="I26">
        <f>Assumptions!I48</f>
        <v>425</v>
      </c>
      <c r="J26">
        <f>Assumptions!J48</f>
        <v>1453.5714285714287</v>
      </c>
      <c r="K26">
        <f>Assumptions!K48</f>
        <v>1282.1428571428573</v>
      </c>
      <c r="L26">
        <f>Assumptions!L48</f>
        <v>1110.714285714286</v>
      </c>
      <c r="M26">
        <f>Assumptions!M48</f>
        <v>939.28571428571456</v>
      </c>
      <c r="N26">
        <f>Assumptions!N48</f>
        <v>767.85714285714312</v>
      </c>
    </row>
    <row r="27" spans="1:14" x14ac:dyDescent="0.35">
      <c r="D27" t="s">
        <v>64</v>
      </c>
      <c r="E27" s="14" t="str">
        <f>currency</f>
        <v>₦'mn</v>
      </c>
      <c r="I27">
        <f>I33-I26</f>
        <v>266</v>
      </c>
      <c r="J27">
        <f t="shared" ref="J27:N27" si="3">J33-J26</f>
        <v>26.220000000000027</v>
      </c>
      <c r="K27">
        <f t="shared" si="3"/>
        <v>-101.98142857142875</v>
      </c>
      <c r="L27">
        <f t="shared" si="3"/>
        <v>-214.07885714285749</v>
      </c>
      <c r="M27">
        <f t="shared" si="3"/>
        <v>-323.9903657142861</v>
      </c>
      <c r="N27">
        <f t="shared" si="3"/>
        <v>-395.68227748571451</v>
      </c>
    </row>
    <row r="28" spans="1:14" s="1" customFormat="1" x14ac:dyDescent="0.35">
      <c r="C28" s="1" t="s">
        <v>65</v>
      </c>
      <c r="E28" s="14" t="str">
        <f>currency</f>
        <v>₦'mn</v>
      </c>
      <c r="I28" s="1">
        <f>SUM(I26:I27)</f>
        <v>691</v>
      </c>
      <c r="J28" s="1">
        <f t="shared" ref="J28:N28" si="4">SUM(J26:J27)</f>
        <v>1479.7914285714287</v>
      </c>
      <c r="K28" s="1">
        <f t="shared" si="4"/>
        <v>1180.1614285714286</v>
      </c>
      <c r="L28" s="1">
        <f t="shared" si="4"/>
        <v>896.63542857142852</v>
      </c>
      <c r="M28" s="1">
        <f t="shared" si="4"/>
        <v>615.29534857142846</v>
      </c>
      <c r="N28" s="1">
        <f t="shared" si="4"/>
        <v>372.17486537142861</v>
      </c>
    </row>
    <row r="30" spans="1:14" x14ac:dyDescent="0.35">
      <c r="C30" t="s">
        <v>57</v>
      </c>
      <c r="E30" s="14" t="str">
        <f>currency</f>
        <v>₦'mn</v>
      </c>
      <c r="I30">
        <f>Assumptions!I79</f>
        <v>435</v>
      </c>
      <c r="J30">
        <f>Assumptions!J79</f>
        <v>1548.25</v>
      </c>
      <c r="K30">
        <f>Assumptions!K79</f>
        <v>1161.5</v>
      </c>
      <c r="L30">
        <f>Assumptions!L79</f>
        <v>774.75</v>
      </c>
      <c r="M30">
        <f>Assumptions!M79</f>
        <v>388</v>
      </c>
      <c r="N30">
        <f>Assumptions!N79</f>
        <v>1.25</v>
      </c>
    </row>
    <row r="31" spans="1:14" x14ac:dyDescent="0.35">
      <c r="C31" t="s">
        <v>58</v>
      </c>
      <c r="E31" s="14" t="str">
        <f>currency</f>
        <v>₦'mn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35">
      <c r="D32" t="str">
        <f>D20</f>
        <v>Net Income</v>
      </c>
      <c r="E32" s="14" t="str">
        <f>currency</f>
        <v>₦'mn</v>
      </c>
      <c r="I32">
        <f>I20</f>
        <v>256</v>
      </c>
      <c r="J32">
        <f t="shared" ref="J32:N32" si="5">J20</f>
        <v>-68.458571428571418</v>
      </c>
      <c r="K32">
        <f t="shared" si="5"/>
        <v>18.661428571428473</v>
      </c>
      <c r="L32">
        <f t="shared" si="5"/>
        <v>121.88542857142852</v>
      </c>
      <c r="M32">
        <f t="shared" si="5"/>
        <v>227.29534857142846</v>
      </c>
      <c r="N32">
        <f t="shared" si="5"/>
        <v>370.92486537142861</v>
      </c>
    </row>
    <row r="33" spans="2:14" s="1" customFormat="1" x14ac:dyDescent="0.35">
      <c r="C33" s="1" t="s">
        <v>66</v>
      </c>
      <c r="E33" s="14" t="str">
        <f>currency</f>
        <v>₦'mn</v>
      </c>
      <c r="I33" s="1">
        <f>SUM(I30:I32)</f>
        <v>691</v>
      </c>
      <c r="J33" s="1">
        <f t="shared" ref="J33:N33" si="6">SUM(J30:J32)</f>
        <v>1479.7914285714287</v>
      </c>
      <c r="K33" s="1">
        <f t="shared" si="6"/>
        <v>1180.1614285714286</v>
      </c>
      <c r="L33" s="1">
        <f t="shared" si="6"/>
        <v>896.63542857142852</v>
      </c>
      <c r="M33" s="1">
        <f t="shared" si="6"/>
        <v>615.29534857142846</v>
      </c>
      <c r="N33" s="1">
        <f t="shared" si="6"/>
        <v>372.17486537142861</v>
      </c>
    </row>
    <row r="35" spans="2:14" s="20" customFormat="1" x14ac:dyDescent="0.35">
      <c r="C35" s="20" t="s">
        <v>67</v>
      </c>
      <c r="E35" s="14"/>
      <c r="I35" s="33">
        <f>I28-I33</f>
        <v>0</v>
      </c>
      <c r="J35" s="33">
        <f t="shared" ref="J35:N35" si="7">J28-J33</f>
        <v>0</v>
      </c>
      <c r="K35" s="33">
        <f t="shared" si="7"/>
        <v>0</v>
      </c>
      <c r="L35" s="33">
        <f t="shared" si="7"/>
        <v>0</v>
      </c>
      <c r="M35" s="33">
        <f t="shared" si="7"/>
        <v>0</v>
      </c>
      <c r="N35" s="33">
        <f t="shared" si="7"/>
        <v>0</v>
      </c>
    </row>
    <row r="38" spans="2:14" ht="18.5" x14ac:dyDescent="0.45">
      <c r="B38" s="3" t="s">
        <v>68</v>
      </c>
    </row>
    <row r="40" spans="2:14" x14ac:dyDescent="0.35">
      <c r="D40" t="str">
        <f>D27</f>
        <v>Cash and Cash Equivalent</v>
      </c>
      <c r="E40" s="14" t="str">
        <f>currency</f>
        <v>₦'mn</v>
      </c>
      <c r="I40">
        <f t="shared" ref="I40:N40" si="8">I27</f>
        <v>266</v>
      </c>
      <c r="J40">
        <f t="shared" si="8"/>
        <v>26.220000000000027</v>
      </c>
      <c r="K40">
        <f t="shared" si="8"/>
        <v>-101.98142857142875</v>
      </c>
      <c r="L40">
        <f t="shared" si="8"/>
        <v>-214.07885714285749</v>
      </c>
      <c r="M40">
        <f t="shared" si="8"/>
        <v>-323.9903657142861</v>
      </c>
      <c r="N40">
        <f t="shared" si="8"/>
        <v>-395.68227748571451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6D6F6-2E9B-4A20-A7C2-614DB1756BD8}">
  <dimension ref="A1:N35"/>
  <sheetViews>
    <sheetView showGridLines="0" tabSelected="1" zoomScale="70" zoomScaleNormal="70" workbookViewId="0">
      <pane ySplit="5" topLeftCell="A6" activePane="bottomLeft" state="frozen"/>
      <selection pane="bottomLeft" activeCell="F14" sqref="F14"/>
    </sheetView>
  </sheetViews>
  <sheetFormatPr defaultColWidth="0" defaultRowHeight="14.5" x14ac:dyDescent="0.35"/>
  <cols>
    <col min="1" max="3" width="2.36328125" customWidth="1"/>
    <col min="4" max="4" width="28.08984375" customWidth="1"/>
    <col min="5" max="5" width="8.7265625" customWidth="1"/>
    <col min="6" max="6" width="8.90625" customWidth="1"/>
    <col min="7" max="8" width="2.36328125" customWidth="1"/>
    <col min="9" max="14" width="11.7265625" customWidth="1"/>
    <col min="15" max="16384" width="8.7265625" hidden="1"/>
  </cols>
  <sheetData>
    <row r="1" spans="2:14" s="4" customFormat="1" x14ac:dyDescent="0.35"/>
    <row r="2" spans="2:14" s="4" customFormat="1" ht="18.5" x14ac:dyDescent="0.45">
      <c r="B2" s="5" t="str">
        <f>'Cover Page'!B3</f>
        <v>Lexa Bottling Co.</v>
      </c>
      <c r="I2" s="9" t="str">
        <f>"Financial Model :"&amp;J5&amp;" to "&amp;N5</f>
        <v>Financial Model :2025 to 2029</v>
      </c>
      <c r="J2" s="10"/>
      <c r="K2" s="10"/>
      <c r="L2" s="10"/>
      <c r="M2" s="10"/>
      <c r="N2" s="11"/>
    </row>
    <row r="3" spans="2:14" s="4" customFormat="1" x14ac:dyDescent="0.35">
      <c r="B3" s="4" t="s">
        <v>80</v>
      </c>
    </row>
    <row r="4" spans="2:14" x14ac:dyDescent="0.35">
      <c r="I4" s="7" t="s">
        <v>6</v>
      </c>
      <c r="J4" s="7" t="s">
        <v>7</v>
      </c>
      <c r="K4" s="7" t="s">
        <v>7</v>
      </c>
      <c r="L4" s="7" t="s">
        <v>7</v>
      </c>
      <c r="M4" s="7" t="s">
        <v>7</v>
      </c>
      <c r="N4" s="7" t="s">
        <v>7</v>
      </c>
    </row>
    <row r="5" spans="2:14" x14ac:dyDescent="0.35">
      <c r="E5" t="s">
        <v>4</v>
      </c>
      <c r="F5" t="s">
        <v>5</v>
      </c>
      <c r="I5" s="23">
        <v>2024</v>
      </c>
      <c r="J5" s="8">
        <v>2025</v>
      </c>
      <c r="K5" s="8">
        <v>2026</v>
      </c>
      <c r="L5" s="8">
        <v>2027</v>
      </c>
      <c r="M5" s="8">
        <v>2028</v>
      </c>
      <c r="N5" s="8">
        <v>2029</v>
      </c>
    </row>
    <row r="6" spans="2:14" x14ac:dyDescent="0.35">
      <c r="I6" s="23"/>
      <c r="J6" s="8"/>
      <c r="K6" s="8"/>
      <c r="L6" s="8"/>
      <c r="M6" s="8"/>
      <c r="N6" s="8"/>
    </row>
    <row r="7" spans="2:14" x14ac:dyDescent="0.35">
      <c r="D7" t="s">
        <v>73</v>
      </c>
      <c r="F7" s="37">
        <f ca="1">TODAY()</f>
        <v>46036</v>
      </c>
      <c r="I7" s="23"/>
      <c r="J7" s="8"/>
      <c r="K7" s="8"/>
      <c r="L7" s="8"/>
      <c r="M7" s="8"/>
      <c r="N7" s="8"/>
    </row>
    <row r="9" spans="2:14" ht="18.5" x14ac:dyDescent="0.45">
      <c r="B9" s="3"/>
      <c r="D9" t="str">
        <f>Model!D14</f>
        <v>EBITDA</v>
      </c>
      <c r="E9" t="str">
        <f>currency</f>
        <v>₦'mn</v>
      </c>
      <c r="I9">
        <f>Model!I14</f>
        <v>396</v>
      </c>
      <c r="J9">
        <f>Model!J14</f>
        <v>489.71999999999997</v>
      </c>
      <c r="K9">
        <f>Model!K14</f>
        <v>576.83999999999992</v>
      </c>
      <c r="L9">
        <f>Model!L14</f>
        <v>680.06399999999996</v>
      </c>
      <c r="M9">
        <f>Model!M14</f>
        <v>785.47391999999991</v>
      </c>
      <c r="N9">
        <f>Model!N14</f>
        <v>929.10343680000005</v>
      </c>
    </row>
    <row r="10" spans="2:14" s="1" customFormat="1" x14ac:dyDescent="0.35">
      <c r="D10" s="1" t="s">
        <v>69</v>
      </c>
      <c r="E10" s="1" t="str">
        <f>currency</f>
        <v>₦'mn</v>
      </c>
      <c r="I10" s="1">
        <f>I9*(1-0.3)</f>
        <v>277.2</v>
      </c>
      <c r="J10" s="1">
        <f t="shared" ref="J10:N10" si="0">J9*(1-0.3)</f>
        <v>342.80399999999997</v>
      </c>
      <c r="K10" s="1">
        <f t="shared" si="0"/>
        <v>403.7879999999999</v>
      </c>
      <c r="L10" s="1">
        <f t="shared" si="0"/>
        <v>476.04479999999995</v>
      </c>
      <c r="M10" s="1">
        <f t="shared" si="0"/>
        <v>549.83174399999984</v>
      </c>
      <c r="N10" s="1">
        <f t="shared" si="0"/>
        <v>650.37240575999999</v>
      </c>
    </row>
    <row r="12" spans="2:14" x14ac:dyDescent="0.35">
      <c r="D12" t="str">
        <f>Model!D16</f>
        <v>Depreciation</v>
      </c>
      <c r="E12" t="str">
        <f>Model!E16</f>
        <v>₦'mn</v>
      </c>
      <c r="I12">
        <f>Model!I16</f>
        <v>75</v>
      </c>
      <c r="J12">
        <f>Model!J16</f>
        <v>171.42857142857142</v>
      </c>
      <c r="K12">
        <f>Model!K16</f>
        <v>171.42857142857142</v>
      </c>
      <c r="L12">
        <f>Model!L16</f>
        <v>171.42857142857142</v>
      </c>
      <c r="M12">
        <f>Model!M16</f>
        <v>171.42857142857142</v>
      </c>
      <c r="N12">
        <f>Model!N16</f>
        <v>171.42857142857142</v>
      </c>
    </row>
    <row r="13" spans="2:14" s="1" customFormat="1" x14ac:dyDescent="0.35">
      <c r="D13" s="1" t="s">
        <v>70</v>
      </c>
      <c r="I13" s="31">
        <f>I10+I12</f>
        <v>352.2</v>
      </c>
      <c r="J13" s="31">
        <f t="shared" ref="J13:N13" si="1">J10+J12</f>
        <v>514.23257142857142</v>
      </c>
      <c r="K13" s="31">
        <f t="shared" si="1"/>
        <v>575.21657142857134</v>
      </c>
      <c r="L13" s="31">
        <f t="shared" si="1"/>
        <v>647.47337142857134</v>
      </c>
      <c r="M13" s="31">
        <f t="shared" si="1"/>
        <v>721.26031542857129</v>
      </c>
      <c r="N13" s="31">
        <f t="shared" si="1"/>
        <v>821.80097718857144</v>
      </c>
    </row>
    <row r="14" spans="2:14" x14ac:dyDescent="0.35">
      <c r="D14" s="34" t="s">
        <v>71</v>
      </c>
      <c r="I14">
        <f>Assumptions!I37</f>
        <v>0</v>
      </c>
      <c r="J14">
        <f>Assumptions!J37</f>
        <v>1200</v>
      </c>
      <c r="K14">
        <f>Assumptions!K37</f>
        <v>0</v>
      </c>
      <c r="L14">
        <f>Assumptions!L37</f>
        <v>0</v>
      </c>
      <c r="M14">
        <f>Assumptions!M37</f>
        <v>0</v>
      </c>
      <c r="N14">
        <f>Assumptions!N37</f>
        <v>0</v>
      </c>
    </row>
    <row r="16" spans="2:14" x14ac:dyDescent="0.35">
      <c r="D16" s="1" t="s">
        <v>72</v>
      </c>
      <c r="I16">
        <f t="shared" ref="I16:N16" si="2">I13-I14</f>
        <v>352.2</v>
      </c>
      <c r="J16">
        <f t="shared" si="2"/>
        <v>-685.76742857142858</v>
      </c>
      <c r="K16">
        <f t="shared" si="2"/>
        <v>575.21657142857134</v>
      </c>
      <c r="L16">
        <f t="shared" si="2"/>
        <v>647.47337142857134</v>
      </c>
      <c r="M16">
        <f t="shared" si="2"/>
        <v>721.26031542857129</v>
      </c>
      <c r="N16">
        <f t="shared" si="2"/>
        <v>821.80097718857144</v>
      </c>
    </row>
    <row r="17" spans="4:14" x14ac:dyDescent="0.35">
      <c r="D17" s="1"/>
    </row>
    <row r="18" spans="4:14" x14ac:dyDescent="0.35">
      <c r="D18" s="1"/>
      <c r="J18">
        <v>1</v>
      </c>
      <c r="K18">
        <v>2</v>
      </c>
      <c r="L18">
        <v>3</v>
      </c>
      <c r="M18">
        <v>4</v>
      </c>
      <c r="N18">
        <v>5</v>
      </c>
    </row>
    <row r="19" spans="4:14" x14ac:dyDescent="0.35">
      <c r="D19" s="35"/>
    </row>
    <row r="20" spans="4:14" x14ac:dyDescent="0.35">
      <c r="D20" s="36" t="s">
        <v>76</v>
      </c>
      <c r="E20" t="s">
        <v>19</v>
      </c>
      <c r="I20">
        <v>0.32500000000000001</v>
      </c>
      <c r="J20">
        <v>0.32500000000000001</v>
      </c>
      <c r="K20">
        <v>0.32500000000000001</v>
      </c>
      <c r="L20">
        <v>0.32500000000000001</v>
      </c>
      <c r="M20">
        <v>0.32500000000000001</v>
      </c>
      <c r="N20">
        <v>0.32500000000000001</v>
      </c>
    </row>
    <row r="22" spans="4:14" s="1" customFormat="1" x14ac:dyDescent="0.35">
      <c r="D22" s="1" t="s">
        <v>74</v>
      </c>
      <c r="E22" s="1" t="str">
        <f>currency</f>
        <v>₦'mn</v>
      </c>
      <c r="J22" s="1">
        <f>J16/(1+J20)^J18</f>
        <v>-517.56032345013477</v>
      </c>
      <c r="K22" s="1">
        <f>K16/(1+K20)^K18</f>
        <v>327.64204851752015</v>
      </c>
      <c r="L22" s="1">
        <f t="shared" ref="L22:N22" si="3">L16/(1+L20)^L18</f>
        <v>278.33913748549855</v>
      </c>
      <c r="M22" s="1">
        <f t="shared" si="3"/>
        <v>234.00682512221277</v>
      </c>
      <c r="N22" s="1">
        <f t="shared" si="3"/>
        <v>201.22746770996338</v>
      </c>
    </row>
    <row r="23" spans="4:14" x14ac:dyDescent="0.35">
      <c r="I23" s="24"/>
    </row>
    <row r="24" spans="4:14" s="1" customFormat="1" x14ac:dyDescent="0.35">
      <c r="D24" s="1" t="s">
        <v>75</v>
      </c>
      <c r="E24" s="1" t="str">
        <f>currency</f>
        <v>₦'mn</v>
      </c>
      <c r="I24" s="38"/>
      <c r="N24" s="1">
        <f>SUM(I22:N22)</f>
        <v>523.65515538506008</v>
      </c>
    </row>
    <row r="25" spans="4:14" x14ac:dyDescent="0.35">
      <c r="I25" s="24"/>
    </row>
    <row r="26" spans="4:14" x14ac:dyDescent="0.35">
      <c r="I26" s="24"/>
    </row>
    <row r="27" spans="4:14" x14ac:dyDescent="0.35">
      <c r="I27" s="24"/>
    </row>
    <row r="28" spans="4:14" x14ac:dyDescent="0.35">
      <c r="I28" s="24"/>
    </row>
    <row r="29" spans="4:14" x14ac:dyDescent="0.35">
      <c r="D29" t="s">
        <v>77</v>
      </c>
    </row>
    <row r="31" spans="4:14" x14ac:dyDescent="0.35">
      <c r="D31" t="str">
        <f>D22</f>
        <v>PV of FCF</v>
      </c>
      <c r="E31" t="str">
        <f>currency</f>
        <v>₦'mn</v>
      </c>
      <c r="J31">
        <f t="shared" ref="J31:N31" si="4">J22</f>
        <v>-517.56032345013477</v>
      </c>
      <c r="K31">
        <f t="shared" si="4"/>
        <v>327.64204851752015</v>
      </c>
      <c r="L31">
        <f t="shared" si="4"/>
        <v>278.33913748549855</v>
      </c>
      <c r="M31">
        <f t="shared" si="4"/>
        <v>234.00682512221277</v>
      </c>
      <c r="N31">
        <f t="shared" si="4"/>
        <v>201.22746770996338</v>
      </c>
    </row>
    <row r="33" spans="4:14" x14ac:dyDescent="0.35">
      <c r="D33" t="str">
        <f>D24</f>
        <v>Enterprise value</v>
      </c>
      <c r="E33" t="str">
        <f>E24</f>
        <v>₦'mn</v>
      </c>
      <c r="N33">
        <f>N24</f>
        <v>523.65515538506008</v>
      </c>
    </row>
    <row r="34" spans="4:14" x14ac:dyDescent="0.35">
      <c r="D34" t="s">
        <v>78</v>
      </c>
      <c r="E34" t="str">
        <f>currency</f>
        <v>₦'mn</v>
      </c>
      <c r="N34">
        <v>0</v>
      </c>
    </row>
    <row r="35" spans="4:14" s="1" customFormat="1" x14ac:dyDescent="0.35">
      <c r="D35" s="1" t="s">
        <v>79</v>
      </c>
      <c r="N35" s="1">
        <f>SUM(N33:N34)</f>
        <v>523.65515538506008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Cover Page</vt:lpstr>
      <vt:lpstr>Assumptions</vt:lpstr>
      <vt:lpstr>Model</vt:lpstr>
      <vt:lpstr>Valuation</vt:lpstr>
      <vt:lpstr>currency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Ovoke Ohwoganohwo</dc:creator>
  <cp:lastModifiedBy>Ovoke Ohwoganohwo</cp:lastModifiedBy>
  <dcterms:created xsi:type="dcterms:W3CDTF">2025-09-20T18:05:13Z</dcterms:created>
  <dcterms:modified xsi:type="dcterms:W3CDTF">2026-01-14T21:37:46Z</dcterms:modified>
</cp:coreProperties>
</file>